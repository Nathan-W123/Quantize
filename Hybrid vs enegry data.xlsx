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iferward/Desktop/"/>
    </mc:Choice>
  </mc:AlternateContent>
  <xr:revisionPtr revIDLastSave="0" documentId="8_{3738238D-9B20-7A4D-BAF8-3B3F3211ECEB}" xr6:coauthVersionLast="47" xr6:coauthVersionMax="47" xr10:uidLastSave="{00000000-0000-0000-0000-000000000000}"/>
  <bookViews>
    <workbookView xWindow="3080" yWindow="2160" windowWidth="28040" windowHeight="17180" xr2:uid="{E332D1B5-C2A5-DB4B-82FE-748D16F7AEBC}"/>
  </bookViews>
  <sheets>
    <sheet name="SO2" sheetId="1" r:id="rId1"/>
    <sheet name="Methanol" sheetId="5" r:id="rId2"/>
    <sheet name="Benzene" sheetId="6" r:id="rId3"/>
    <sheet name="Formaldehyde" sheetId="2" r:id="rId4"/>
    <sheet name="Water" sheetId="3" r:id="rId5"/>
    <sheet name="CO2" sheetId="4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6" l="1"/>
  <c r="E3" i="6"/>
  <c r="F2" i="6"/>
  <c r="E2" i="6"/>
  <c r="G6" i="5"/>
  <c r="E6" i="5"/>
  <c r="F6" i="5"/>
  <c r="E2" i="5"/>
  <c r="F5" i="5"/>
  <c r="E5" i="5"/>
  <c r="F4" i="5"/>
  <c r="E4" i="5"/>
  <c r="F3" i="5"/>
  <c r="E3" i="5"/>
  <c r="F2" i="5"/>
  <c r="G2" i="4"/>
  <c r="E2" i="4"/>
  <c r="F2" i="4"/>
  <c r="G3" i="3"/>
  <c r="G2" i="3"/>
  <c r="F3" i="3"/>
  <c r="E3" i="3"/>
  <c r="F2" i="3"/>
  <c r="E2" i="3"/>
  <c r="G3" i="2"/>
  <c r="G4" i="2"/>
  <c r="G5" i="2"/>
  <c r="G2" i="2"/>
  <c r="E3" i="2"/>
  <c r="E4" i="2"/>
  <c r="E5" i="2"/>
  <c r="E2" i="2"/>
  <c r="F4" i="2"/>
  <c r="F5" i="2"/>
  <c r="F3" i="2"/>
  <c r="F2" i="2"/>
  <c r="F2" i="1"/>
  <c r="F3" i="1"/>
  <c r="E3" i="1"/>
  <c r="E2" i="1"/>
  <c r="G3" i="6" l="1"/>
  <c r="G2" i="6"/>
  <c r="G4" i="5"/>
  <c r="G3" i="5"/>
  <c r="G2" i="5"/>
  <c r="G5" i="5"/>
</calcChain>
</file>

<file path=xl/sharedStrings.xml><?xml version="1.0" encoding="utf-8"?>
<sst xmlns="http://schemas.openxmlformats.org/spreadsheetml/2006/main" count="46" uniqueCount="19">
  <si>
    <t>Bond Length</t>
  </si>
  <si>
    <t>Bond Angle</t>
  </si>
  <si>
    <t>Experimental</t>
  </si>
  <si>
    <t>Hybrid</t>
  </si>
  <si>
    <t>Hyrbid % Error</t>
  </si>
  <si>
    <t>r(C=O)</t>
  </si>
  <si>
    <t>r(C-H)</t>
  </si>
  <si>
    <t>angle H-C-O</t>
  </si>
  <si>
    <t>angle H-C-H</t>
  </si>
  <si>
    <t>Energy % Error</t>
  </si>
  <si>
    <t>r(O-H)</t>
  </si>
  <si>
    <t>Angle</t>
  </si>
  <si>
    <t>Energy</t>
  </si>
  <si>
    <t>C=O</t>
  </si>
  <si>
    <t>r(C-O)</t>
  </si>
  <si>
    <t>C-O-H</t>
  </si>
  <si>
    <t>H-C-H</t>
  </si>
  <si>
    <t>C-C</t>
  </si>
  <si>
    <t>C-H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</si>
</sst>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%"/>
    <numFmt numFmtId="174" formatCode="#,##0.00000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.8"/>
      <color theme="1"/>
      <name val="Menlo"/>
      <family val="2"/>
    </font>
    <font>
      <sz val="12"/>
      <color rgb="FF000000"/>
      <name val="Aptos Narrow"/>
      <family val="2"/>
      <scheme val="minor"/>
    </font>
    <font>
      <sz val="10.8"/>
      <color rgb="FF000000"/>
      <name val="Menlo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1" applyNumberFormat="1" applyFont="1"/>
    <xf numFmtId="0" fontId="2" fillId="0" borderId="0" xfId="0" applyFont="1"/>
    <xf numFmtId="174" fontId="0" fillId="0" borderId="0" xfId="0" applyNumberFormat="1"/>
    <xf numFmtId="0" fontId="3" fillId="0" borderId="0" xfId="0" applyFont="1"/>
    <xf numFmtId="0" fontId="4" fillId="0" borderId="0" xfId="0" applyFont="1"/>
    <xf numFmtId="165" fontId="3" fillId="0" borderId="0" xfId="0" applyNumberFormat="1" applyFont="1"/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3970-2DA9-0F42-B5EC-A8A53A7B4B8A}">
  <dimension ref="A1:F10"/>
  <sheetViews>
    <sheetView tabSelected="1" workbookViewId="0">
      <selection activeCell="A10" sqref="A10"/>
    </sheetView>
  </sheetViews>
  <sheetFormatPr baseColWidth="10" defaultRowHeight="16" x14ac:dyDescent="0.2"/>
  <cols>
    <col min="2" max="2" width="11.83203125" bestFit="1" customWidth="1"/>
    <col min="4" max="4" width="24.33203125" bestFit="1" customWidth="1"/>
    <col min="5" max="5" width="12.6640625" bestFit="1" customWidth="1"/>
    <col min="6" max="6" width="31.5" bestFit="1" customWidth="1"/>
  </cols>
  <sheetData>
    <row r="1" spans="1:6" ht="17" x14ac:dyDescent="0.2">
      <c r="B1" t="s">
        <v>2</v>
      </c>
      <c r="C1" t="s">
        <v>3</v>
      </c>
      <c r="D1" s="2" t="s">
        <v>12</v>
      </c>
      <c r="E1" t="s">
        <v>4</v>
      </c>
      <c r="F1" s="2" t="s">
        <v>9</v>
      </c>
    </row>
    <row r="2" spans="1:6" x14ac:dyDescent="0.2">
      <c r="A2" t="s">
        <v>0</v>
      </c>
      <c r="B2">
        <v>1.431</v>
      </c>
      <c r="C2">
        <v>1.4295679999999999</v>
      </c>
      <c r="D2">
        <v>1.429341</v>
      </c>
      <c r="E2" s="1">
        <f>(C2-$B$2)/$B$2</f>
        <v>-1.0006988120196364E-3</v>
      </c>
      <c r="F2" s="1">
        <f>(D2-$B$2)/$B$2</f>
        <v>-1.1593291404612697E-3</v>
      </c>
    </row>
    <row r="3" spans="1:6" x14ac:dyDescent="0.2">
      <c r="A3" t="s">
        <v>1</v>
      </c>
      <c r="B3">
        <v>119.3</v>
      </c>
      <c r="C3">
        <v>119.4216</v>
      </c>
      <c r="D3">
        <v>118.85</v>
      </c>
      <c r="E3" s="1">
        <f>(C3-$B$3)/$B$3</f>
        <v>1.0192791282481208E-3</v>
      </c>
      <c r="F3" s="1">
        <f>(D3-$B$3)/$B$3</f>
        <v>-3.7720033528918931E-3</v>
      </c>
    </row>
    <row r="10" spans="1:6" x14ac:dyDescent="0.2">
      <c r="A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114D-611D-7441-BC74-BEFB4B336FD4}">
  <dimension ref="A1:G22"/>
  <sheetViews>
    <sheetView workbookViewId="0">
      <selection activeCell="F6" sqref="A1:F6"/>
    </sheetView>
  </sheetViews>
  <sheetFormatPr baseColWidth="10" defaultRowHeight="16" x14ac:dyDescent="0.2"/>
  <sheetData>
    <row r="1" spans="1:7" x14ac:dyDescent="0.2">
      <c r="B1" t="s">
        <v>2</v>
      </c>
      <c r="C1" t="s">
        <v>3</v>
      </c>
      <c r="D1" s="2" t="s">
        <v>12</v>
      </c>
      <c r="E1" t="s">
        <v>4</v>
      </c>
      <c r="F1" s="2" t="s">
        <v>9</v>
      </c>
    </row>
    <row r="2" spans="1:7" x14ac:dyDescent="0.2">
      <c r="A2" t="s">
        <v>14</v>
      </c>
      <c r="B2">
        <v>1.421</v>
      </c>
      <c r="C2">
        <v>1.427629</v>
      </c>
      <c r="D2">
        <v>1.4186810000000001</v>
      </c>
      <c r="E2" s="1">
        <f>ABS((C2-B2)/B2)</f>
        <v>4.665024630541869E-3</v>
      </c>
      <c r="F2" s="1">
        <f>ABS((D2-B2)/B2)</f>
        <v>1.6319493314566923E-3</v>
      </c>
      <c r="G2">
        <f>IF(F2&gt;E2, 1,0)</f>
        <v>0</v>
      </c>
    </row>
    <row r="3" spans="1:7" x14ac:dyDescent="0.2">
      <c r="A3" t="s">
        <v>10</v>
      </c>
      <c r="B3">
        <v>0.96299999999999997</v>
      </c>
      <c r="C3" s="3">
        <v>0.95988300000000004</v>
      </c>
      <c r="D3">
        <v>0.95815399999999995</v>
      </c>
      <c r="E3" s="1">
        <f t="shared" ref="E3:E6" si="0">ABS((C3-B3)/B3)</f>
        <v>3.2367601246105146E-3</v>
      </c>
      <c r="F3" s="1">
        <f>ABS((D3-B3)/B3)</f>
        <v>5.0321910695742648E-3</v>
      </c>
      <c r="G3">
        <f t="shared" ref="G3:G6" si="1">IF(F3&gt;E3, 1,0)</f>
        <v>1</v>
      </c>
    </row>
    <row r="4" spans="1:7" x14ac:dyDescent="0.2">
      <c r="A4" t="s">
        <v>6</v>
      </c>
      <c r="B4">
        <v>1.0940000000000001</v>
      </c>
      <c r="C4">
        <v>1.102849</v>
      </c>
      <c r="D4">
        <v>1.0940840000000001</v>
      </c>
      <c r="E4" s="1">
        <f t="shared" si="0"/>
        <v>8.0886654478975178E-3</v>
      </c>
      <c r="F4" s="1">
        <f>ABS((D4-B4)/B4)</f>
        <v>7.6782449725752269E-5</v>
      </c>
      <c r="G4">
        <f t="shared" si="1"/>
        <v>0</v>
      </c>
    </row>
    <row r="5" spans="1:7" x14ac:dyDescent="0.2">
      <c r="A5" t="s">
        <v>15</v>
      </c>
      <c r="B5">
        <v>108.5</v>
      </c>
      <c r="C5">
        <v>109.9811</v>
      </c>
      <c r="D5">
        <v>108.5692</v>
      </c>
      <c r="E5" s="1">
        <f t="shared" si="0"/>
        <v>1.3650691244239612E-2</v>
      </c>
      <c r="F5" s="1">
        <f>ABS((D5-B5)/B5)</f>
        <v>6.3778801843313406E-4</v>
      </c>
      <c r="G5">
        <f t="shared" si="1"/>
        <v>0</v>
      </c>
    </row>
    <row r="6" spans="1:7" x14ac:dyDescent="0.2">
      <c r="A6" t="s">
        <v>16</v>
      </c>
      <c r="B6">
        <v>109.3</v>
      </c>
      <c r="C6">
        <v>108.575</v>
      </c>
      <c r="D6">
        <v>108.5307</v>
      </c>
      <c r="E6" s="1">
        <f t="shared" si="0"/>
        <v>6.6331198536138548E-3</v>
      </c>
      <c r="F6" s="1">
        <f>ABS((D6-B6)/B6)</f>
        <v>7.0384263494968086E-3</v>
      </c>
      <c r="G6">
        <f t="shared" si="1"/>
        <v>1</v>
      </c>
    </row>
    <row r="12" spans="1:7" x14ac:dyDescent="0.2">
      <c r="G12" s="7"/>
    </row>
    <row r="14" spans="1:7" x14ac:dyDescent="0.2">
      <c r="G14" s="7"/>
    </row>
    <row r="16" spans="1:7" x14ac:dyDescent="0.2">
      <c r="G16" s="7"/>
    </row>
    <row r="18" spans="7:7" x14ac:dyDescent="0.2">
      <c r="G18" s="7"/>
    </row>
    <row r="20" spans="7:7" x14ac:dyDescent="0.2">
      <c r="G20" s="7"/>
    </row>
    <row r="22" spans="7:7" x14ac:dyDescent="0.2">
      <c r="G2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ADD5-E088-2541-B6D5-50EE0AF1FF5E}">
  <dimension ref="A1:G8"/>
  <sheetViews>
    <sheetView workbookViewId="0">
      <selection activeCell="D21" sqref="D21"/>
    </sheetView>
  </sheetViews>
  <sheetFormatPr baseColWidth="10" defaultRowHeight="16" x14ac:dyDescent="0.2"/>
  <sheetData>
    <row r="1" spans="1:7" x14ac:dyDescent="0.2">
      <c r="B1" t="s">
        <v>2</v>
      </c>
      <c r="C1" t="s">
        <v>3</v>
      </c>
      <c r="D1" s="2" t="s">
        <v>12</v>
      </c>
      <c r="E1" t="s">
        <v>4</v>
      </c>
      <c r="F1" s="2" t="s">
        <v>9</v>
      </c>
    </row>
    <row r="2" spans="1:7" x14ac:dyDescent="0.2">
      <c r="A2" t="s">
        <v>17</v>
      </c>
      <c r="B2">
        <v>1.391</v>
      </c>
      <c r="C2">
        <v>1.3924030000000001</v>
      </c>
      <c r="D2">
        <v>1.3897109999999999</v>
      </c>
      <c r="E2" s="1">
        <f>ABS((C2-B2)/B2)</f>
        <v>1.0086268871315909E-3</v>
      </c>
      <c r="F2" s="1">
        <f>ABS((D2-B2)/B2)</f>
        <v>9.2667145938180853E-4</v>
      </c>
      <c r="G2">
        <f>IF(F2&gt;E2, 1,0)</f>
        <v>0</v>
      </c>
    </row>
    <row r="3" spans="1:7" x14ac:dyDescent="0.2">
      <c r="A3" t="s">
        <v>18</v>
      </c>
      <c r="B3">
        <v>1.08</v>
      </c>
      <c r="C3" s="3">
        <v>1.0830740000000001</v>
      </c>
      <c r="D3">
        <v>1.0841829999999999</v>
      </c>
      <c r="E3" s="1">
        <f t="shared" ref="E3" si="0">ABS((C3-B3)/B3)</f>
        <v>2.8462962962963155E-3</v>
      </c>
      <c r="F3" s="1">
        <f>ABS((D3-B3)/B3)</f>
        <v>3.8731481481479864E-3</v>
      </c>
      <c r="G3">
        <f>IF(F3&gt;E3, 1,0)</f>
        <v>1</v>
      </c>
    </row>
    <row r="6" spans="1:7" x14ac:dyDescent="0.2">
      <c r="E6" s="7"/>
    </row>
    <row r="8" spans="1:7" x14ac:dyDescent="0.2">
      <c r="D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0474-A05E-C34D-A418-22D3531BE489}">
  <dimension ref="A1:G5"/>
  <sheetViews>
    <sheetView workbookViewId="0">
      <selection activeCell="G6" sqref="A1:G6"/>
    </sheetView>
  </sheetViews>
  <sheetFormatPr baseColWidth="10" defaultRowHeight="16" x14ac:dyDescent="0.2"/>
  <cols>
    <col min="5" max="5" width="16.33203125" bestFit="1" customWidth="1"/>
    <col min="6" max="6" width="17.6640625" bestFit="1" customWidth="1"/>
  </cols>
  <sheetData>
    <row r="1" spans="1:7" ht="17" x14ac:dyDescent="0.2">
      <c r="B1" t="s">
        <v>2</v>
      </c>
      <c r="C1" t="s">
        <v>3</v>
      </c>
      <c r="D1" s="2" t="s">
        <v>12</v>
      </c>
      <c r="E1" t="s">
        <v>4</v>
      </c>
      <c r="F1" s="2" t="s">
        <v>9</v>
      </c>
    </row>
    <row r="2" spans="1:7" x14ac:dyDescent="0.2">
      <c r="A2" t="s">
        <v>5</v>
      </c>
      <c r="B2">
        <v>1.2030000000000001</v>
      </c>
      <c r="C2">
        <v>1.208483</v>
      </c>
      <c r="D2">
        <v>1.199333</v>
      </c>
      <c r="E2" s="1">
        <f>ABS((C2-B2)/B2)</f>
        <v>4.5577722360763961E-3</v>
      </c>
      <c r="F2" s="1">
        <f>ABS((D2-B2)/B2)</f>
        <v>3.0482128013300802E-3</v>
      </c>
      <c r="G2">
        <f>IF(F2&gt;E2, 1,0)</f>
        <v>0</v>
      </c>
    </row>
    <row r="3" spans="1:7" x14ac:dyDescent="0.2">
      <c r="A3" t="s">
        <v>6</v>
      </c>
      <c r="B3">
        <v>1.101</v>
      </c>
      <c r="C3" s="3">
        <v>1.1069580000000001</v>
      </c>
      <c r="D3">
        <v>1.106644</v>
      </c>
      <c r="E3" s="1">
        <f t="shared" ref="E3:E5" si="0">ABS((C3-B3)/B3)</f>
        <v>5.4114441416894914E-3</v>
      </c>
      <c r="F3" s="1">
        <f>ABS((D3-B3)/B3)</f>
        <v>5.126248864668467E-3</v>
      </c>
      <c r="G3">
        <f t="shared" ref="G3:G5" si="1">IF(F3&gt;E3, 1,0)</f>
        <v>0</v>
      </c>
    </row>
    <row r="4" spans="1:7" x14ac:dyDescent="0.2">
      <c r="A4" t="s">
        <v>8</v>
      </c>
      <c r="B4">
        <v>116.5</v>
      </c>
      <c r="C4">
        <v>117.18429999999999</v>
      </c>
      <c r="D4">
        <v>116.249</v>
      </c>
      <c r="E4" s="1">
        <f t="shared" si="0"/>
        <v>5.8738197424892122E-3</v>
      </c>
      <c r="F4" s="1">
        <f>ABS((D4-B4)/B4)</f>
        <v>2.1545064377682813E-3</v>
      </c>
      <c r="G4">
        <f t="shared" si="1"/>
        <v>0</v>
      </c>
    </row>
    <row r="5" spans="1:7" x14ac:dyDescent="0.2">
      <c r="A5" t="s">
        <v>7</v>
      </c>
      <c r="B5">
        <v>121.7</v>
      </c>
      <c r="C5">
        <v>121.4079</v>
      </c>
      <c r="D5">
        <v>121.8755</v>
      </c>
      <c r="E5" s="1">
        <f t="shared" si="0"/>
        <v>2.4001643385374275E-3</v>
      </c>
      <c r="F5" s="1">
        <f>ABS((D5-B5)/B5)</f>
        <v>1.4420706655710726E-3</v>
      </c>
      <c r="G5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FDC7-3B54-1140-A38B-D2CEBD630A9E}">
  <dimension ref="A1:G3"/>
  <sheetViews>
    <sheetView workbookViewId="0">
      <selection activeCell="G3" sqref="A1:G3"/>
    </sheetView>
  </sheetViews>
  <sheetFormatPr baseColWidth="10" defaultRowHeight="16" x14ac:dyDescent="0.2"/>
  <cols>
    <col min="6" max="6" width="17.6640625" bestFit="1" customWidth="1"/>
  </cols>
  <sheetData>
    <row r="1" spans="1:7" ht="17" x14ac:dyDescent="0.2">
      <c r="B1" t="s">
        <v>2</v>
      </c>
      <c r="C1" t="s">
        <v>3</v>
      </c>
      <c r="D1" s="2" t="s">
        <v>12</v>
      </c>
      <c r="E1" t="s">
        <v>4</v>
      </c>
      <c r="F1" s="2" t="s">
        <v>9</v>
      </c>
    </row>
    <row r="2" spans="1:7" x14ac:dyDescent="0.2">
      <c r="A2" t="s">
        <v>10</v>
      </c>
      <c r="B2">
        <v>0.95799999999999996</v>
      </c>
      <c r="C2">
        <v>0.95816800000000002</v>
      </c>
      <c r="D2">
        <v>0.95921800000000002</v>
      </c>
      <c r="E2" s="1">
        <f>ABS((C2-B2)/B2)</f>
        <v>1.7536534446770043E-4</v>
      </c>
      <c r="F2" s="1">
        <f>ABS((D2-B2)/B2)</f>
        <v>1.2713987473904514E-3</v>
      </c>
      <c r="G2">
        <f>IF(F2&gt;E2, 1,0)</f>
        <v>1</v>
      </c>
    </row>
    <row r="3" spans="1:7" x14ac:dyDescent="0.2">
      <c r="A3" t="s">
        <v>11</v>
      </c>
      <c r="B3">
        <v>104.45</v>
      </c>
      <c r="C3" s="3">
        <v>104.1354</v>
      </c>
      <c r="D3">
        <v>104.84990000000001</v>
      </c>
      <c r="E3" s="1">
        <f t="shared" ref="E3" si="0">ABS((C3-B3)/B3)</f>
        <v>3.0119674485399582E-3</v>
      </c>
      <c r="F3" s="1">
        <f>ABS((D3-B3)/B3)</f>
        <v>3.828626136907634E-3</v>
      </c>
      <c r="G3">
        <f>IF(F3&gt;E3, 1,0)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A7B5-36B1-8B4C-A10F-B252229F9118}">
  <dimension ref="A1:G2"/>
  <sheetViews>
    <sheetView workbookViewId="0">
      <selection activeCell="E18" sqref="E18"/>
    </sheetView>
  </sheetViews>
  <sheetFormatPr baseColWidth="10" defaultRowHeight="16" x14ac:dyDescent="0.2"/>
  <sheetData>
    <row r="1" spans="1:7" x14ac:dyDescent="0.2">
      <c r="A1" s="4"/>
      <c r="B1" s="4" t="s">
        <v>2</v>
      </c>
      <c r="C1" s="4" t="s">
        <v>3</v>
      </c>
      <c r="D1" s="5" t="s">
        <v>12</v>
      </c>
      <c r="E1" s="4" t="s">
        <v>4</v>
      </c>
      <c r="F1" s="5" t="s">
        <v>9</v>
      </c>
      <c r="G1" s="4"/>
    </row>
    <row r="2" spans="1:7" x14ac:dyDescent="0.2">
      <c r="A2" s="4" t="s">
        <v>13</v>
      </c>
      <c r="B2" s="4">
        <v>1.161</v>
      </c>
      <c r="C2" s="4">
        <v>1.159991</v>
      </c>
      <c r="D2" s="4">
        <v>1.1592800000000001</v>
      </c>
      <c r="E2" s="6">
        <f>ABS((C2-B2)/B2)</f>
        <v>8.6907838070632011E-4</v>
      </c>
      <c r="F2" s="6">
        <f>ABS((D2-B2)/B2)</f>
        <v>1.4814814814814331E-3</v>
      </c>
      <c r="G2">
        <f>IF(F2&gt;E2, 1,0)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SO2</vt:lpstr>
      <vt:lpstr>Methanol</vt:lpstr>
      <vt:lpstr>Benzene</vt:lpstr>
      <vt:lpstr>Formaldehyde</vt:lpstr>
      <vt:lpstr>Water</vt:lpstr>
      <vt:lpstr>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Ward</dc:creator>
  <cp:lastModifiedBy>Nathan Ward</cp:lastModifiedBy>
  <dcterms:created xsi:type="dcterms:W3CDTF">2026-05-02T02:38:18Z</dcterms:created>
  <dcterms:modified xsi:type="dcterms:W3CDTF">2026-05-03T22:57:40Z</dcterms:modified>
</cp:coreProperties>
</file>